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d5588ca8f1771c/Documents/important documents/Finance/AG Pricing model/"/>
    </mc:Choice>
  </mc:AlternateContent>
  <xr:revisionPtr revIDLastSave="38" documentId="13_ncr:1_{7B3C44AB-2E72-4095-A3F7-E22D90A04A2F}" xr6:coauthVersionLast="47" xr6:coauthVersionMax="47" xr10:uidLastSave="{8877BD7F-E166-408E-94AD-F1008780D9BA}"/>
  <bookViews>
    <workbookView xWindow="-110" yWindow="-110" windowWidth="19420" windowHeight="11500" xr2:uid="{AC5CC934-3ED1-4BD9-BF5F-A7423A71AAB8}"/>
  </bookViews>
  <sheets>
    <sheet name="Pricing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1" l="1"/>
  <c r="D30" i="1"/>
  <c r="D26" i="1"/>
  <c r="D24" i="1"/>
  <c r="D23" i="1"/>
  <c r="D14" i="1"/>
  <c r="G13" i="1" s="1"/>
  <c r="D13" i="1"/>
  <c r="G12" i="1" s="1"/>
  <c r="D16" i="1"/>
  <c r="G15" i="1" s="1"/>
  <c r="D15" i="1"/>
  <c r="G14" i="1" s="1"/>
  <c r="D27" i="1"/>
  <c r="D36" i="1"/>
  <c r="D17" i="1" l="1"/>
  <c r="D18" i="1" l="1"/>
  <c r="G16" i="1" s="1"/>
  <c r="D29" i="1" l="1"/>
  <c r="D39" i="1" s="1"/>
</calcChain>
</file>

<file path=xl/sharedStrings.xml><?xml version="1.0" encoding="utf-8"?>
<sst xmlns="http://schemas.openxmlformats.org/spreadsheetml/2006/main" count="39" uniqueCount="35">
  <si>
    <t xml:space="preserve">Crop </t>
  </si>
  <si>
    <t>Seed</t>
  </si>
  <si>
    <t xml:space="preserve">Chemical </t>
  </si>
  <si>
    <t>Fertilizer</t>
  </si>
  <si>
    <t xml:space="preserve">Urea </t>
  </si>
  <si>
    <t>Yield</t>
  </si>
  <si>
    <t>Current Price</t>
  </si>
  <si>
    <t>Warehousing</t>
  </si>
  <si>
    <t>Variety</t>
  </si>
  <si>
    <t>Tones Harvested</t>
  </si>
  <si>
    <t>Cost Per Month</t>
  </si>
  <si>
    <t xml:space="preserve">Months Stored </t>
  </si>
  <si>
    <t>Profit After Storage</t>
  </si>
  <si>
    <t>Harvest Costs</t>
  </si>
  <si>
    <t>Total Tones</t>
  </si>
  <si>
    <t>Cost Per Acre</t>
  </si>
  <si>
    <t>Yield's Profit</t>
  </si>
  <si>
    <t>Total Storage Cost</t>
  </si>
  <si>
    <t xml:space="preserve"> </t>
  </si>
  <si>
    <t>Yield per acre (t/ac)</t>
  </si>
  <si>
    <t>Cost per Tonne</t>
  </si>
  <si>
    <t>Total Cost per acre</t>
  </si>
  <si>
    <t>Gross Revenue</t>
  </si>
  <si>
    <t>Margin Per Tonne</t>
  </si>
  <si>
    <t>Total Margin</t>
  </si>
  <si>
    <t xml:space="preserve">Total Acres </t>
  </si>
  <si>
    <t>Crop acreage</t>
  </si>
  <si>
    <t>Total acreage cost</t>
  </si>
  <si>
    <t>Total Costs</t>
  </si>
  <si>
    <t>Legand</t>
  </si>
  <si>
    <t>Profit Margin</t>
  </si>
  <si>
    <t>Grain Grade</t>
  </si>
  <si>
    <t>Acreage Margin Calculator</t>
  </si>
  <si>
    <t>Variables highlighted in Yelllow are the inputs you can change to amend the pricing sheet which will populate results automatically</t>
  </si>
  <si>
    <t xml:space="preserve">Harvest Grain Pricing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</si>
</sst>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rgb="FF3F3F76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/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5" fillId="5" borderId="0" applyNumberFormat="0" applyBorder="0" applyAlignment="0" applyProtection="0"/>
    <xf numFmtId="0" fontId="7" fillId="7" borderId="0" applyNumberFormat="0" applyBorder="0" applyAlignment="0" applyProtection="0"/>
  </cellStyleXfs>
  <cellXfs count="77">
    <xf numFmtId="0" fontId="0" fillId="0" borderId="0" xfId="0"/>
    <xf numFmtId="0" fontId="0" fillId="0" borderId="4" xfId="0" applyBorder="1"/>
    <xf numFmtId="0" fontId="0" fillId="0" borderId="7" xfId="0" applyBorder="1"/>
    <xf numFmtId="0" fontId="0" fillId="0" borderId="0" xfId="0" applyBorder="1"/>
    <xf numFmtId="0" fontId="0" fillId="0" borderId="11" xfId="0" applyBorder="1"/>
    <xf numFmtId="0" fontId="0" fillId="0" borderId="5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16" xfId="0" applyBorder="1"/>
    <xf numFmtId="0" fontId="0" fillId="0" borderId="0" xfId="0" applyBorder="1" applyAlignment="1">
      <alignment vertical="center"/>
    </xf>
    <xf numFmtId="0" fontId="0" fillId="6" borderId="6" xfId="0" applyFill="1" applyBorder="1"/>
    <xf numFmtId="0" fontId="0" fillId="6" borderId="0" xfId="0" applyFill="1" applyBorder="1"/>
    <xf numFmtId="0" fontId="0" fillId="6" borderId="10" xfId="0" applyFill="1" applyBorder="1"/>
    <xf numFmtId="0" fontId="1" fillId="6" borderId="0" xfId="1" applyFill="1" applyBorder="1" applyAlignment="1">
      <alignment horizontal="center"/>
    </xf>
    <xf numFmtId="164" fontId="0" fillId="0" borderId="5" xfId="0" applyNumberFormat="1" applyBorder="1" applyAlignment="1"/>
    <xf numFmtId="164" fontId="0" fillId="0" borderId="9" xfId="0" applyNumberFormat="1" applyBorder="1" applyAlignment="1"/>
    <xf numFmtId="164" fontId="6" fillId="0" borderId="17" xfId="0" applyNumberFormat="1" applyFont="1" applyBorder="1" applyAlignment="1"/>
    <xf numFmtId="0" fontId="1" fillId="6" borderId="6" xfId="1" applyFill="1" applyBorder="1" applyAlignment="1">
      <alignment horizontal="center"/>
    </xf>
    <xf numFmtId="0" fontId="1" fillId="6" borderId="10" xfId="1" applyFill="1" applyBorder="1" applyAlignment="1">
      <alignment horizontal="center"/>
    </xf>
    <xf numFmtId="164" fontId="4" fillId="0" borderId="13" xfId="0" applyNumberFormat="1" applyFont="1" applyBorder="1" applyAlignment="1"/>
    <xf numFmtId="0" fontId="0" fillId="0" borderId="6" xfId="0" applyFill="1" applyBorder="1"/>
    <xf numFmtId="0" fontId="0" fillId="0" borderId="0" xfId="0" applyFill="1" applyBorder="1"/>
    <xf numFmtId="0" fontId="0" fillId="0" borderId="0" xfId="0" applyFill="1"/>
    <xf numFmtId="0" fontId="0" fillId="0" borderId="21" xfId="0" applyBorder="1"/>
    <xf numFmtId="164" fontId="4" fillId="0" borderId="5" xfId="0" applyNumberFormat="1" applyFont="1" applyBorder="1" applyAlignment="1"/>
    <xf numFmtId="0" fontId="1" fillId="0" borderId="0" xfId="1" applyFill="1" applyBorder="1" applyAlignment="1">
      <alignment horizontal="center"/>
    </xf>
    <xf numFmtId="164" fontId="6" fillId="0" borderId="17" xfId="0" applyNumberFormat="1" applyFont="1" applyBorder="1" applyAlignment="1">
      <alignment horizontal="right"/>
    </xf>
    <xf numFmtId="164" fontId="0" fillId="0" borderId="0" xfId="0" applyNumberFormat="1"/>
    <xf numFmtId="164" fontId="6" fillId="0" borderId="9" xfId="0" applyNumberFormat="1" applyFont="1" applyBorder="1" applyAlignment="1">
      <alignment horizontal="right"/>
    </xf>
    <xf numFmtId="164" fontId="4" fillId="0" borderId="5" xfId="0" applyNumberFormat="1" applyFont="1" applyBorder="1"/>
    <xf numFmtId="164" fontId="6" fillId="0" borderId="5" xfId="0" applyNumberFormat="1" applyFont="1" applyBorder="1" applyAlignment="1"/>
    <xf numFmtId="0" fontId="8" fillId="7" borderId="4" xfId="5" applyFont="1" applyBorder="1"/>
    <xf numFmtId="0" fontId="4" fillId="0" borderId="0" xfId="0" applyFont="1" applyFill="1" applyBorder="1" applyAlignment="1">
      <alignment vertical="center"/>
    </xf>
    <xf numFmtId="0" fontId="10" fillId="0" borderId="0" xfId="0" applyFont="1" applyBorder="1" applyAlignment="1">
      <alignment horizontal="center"/>
    </xf>
    <xf numFmtId="0" fontId="2" fillId="0" borderId="0" xfId="2" applyFill="1" applyBorder="1"/>
    <xf numFmtId="164" fontId="0" fillId="0" borderId="3" xfId="0" applyNumberFormat="1" applyFont="1" applyBorder="1" applyAlignment="1"/>
    <xf numFmtId="0" fontId="13" fillId="4" borderId="3" xfId="3" applyFont="1" applyBorder="1" applyAlignment="1">
      <alignment horizontal="center"/>
    </xf>
    <xf numFmtId="0" fontId="13" fillId="4" borderId="5" xfId="3" applyFont="1" applyBorder="1" applyAlignment="1">
      <alignment horizontal="center"/>
    </xf>
    <xf numFmtId="0" fontId="14" fillId="3" borderId="18" xfId="2" applyFont="1" applyBorder="1" applyAlignment="1"/>
    <xf numFmtId="0" fontId="14" fillId="3" borderId="18" xfId="2" applyFont="1" applyBorder="1"/>
    <xf numFmtId="0" fontId="14" fillId="3" borderId="22" xfId="2" applyFont="1" applyBorder="1"/>
    <xf numFmtId="0" fontId="14" fillId="3" borderId="3" xfId="2" applyFont="1" applyBorder="1"/>
    <xf numFmtId="0" fontId="14" fillId="3" borderId="20" xfId="2" applyFont="1" applyBorder="1"/>
    <xf numFmtId="0" fontId="14" fillId="3" borderId="23" xfId="2" applyFont="1" applyBorder="1"/>
    <xf numFmtId="0" fontId="14" fillId="3" borderId="19" xfId="2" applyFont="1" applyBorder="1"/>
    <xf numFmtId="0" fontId="0" fillId="10" borderId="4" xfId="0" applyFill="1" applyBorder="1"/>
    <xf numFmtId="164" fontId="0" fillId="11" borderId="14" xfId="0" applyNumberFormat="1" applyFont="1" applyFill="1" applyBorder="1"/>
    <xf numFmtId="164" fontId="0" fillId="11" borderId="3" xfId="0" applyNumberFormat="1" applyFont="1" applyFill="1" applyBorder="1"/>
    <xf numFmtId="164" fontId="0" fillId="11" borderId="15" xfId="0" applyNumberFormat="1" applyFont="1" applyFill="1" applyBorder="1"/>
    <xf numFmtId="164" fontId="0" fillId="11" borderId="5" xfId="0" applyNumberFormat="1" applyFont="1" applyFill="1" applyBorder="1" applyAlignment="1"/>
    <xf numFmtId="0" fontId="0" fillId="11" borderId="5" xfId="0" applyFont="1" applyFill="1" applyBorder="1" applyAlignment="1"/>
    <xf numFmtId="0" fontId="12" fillId="5" borderId="6" xfId="4" applyFont="1" applyBorder="1" applyAlignment="1">
      <alignment horizontal="center" vertical="center"/>
    </xf>
    <xf numFmtId="0" fontId="12" fillId="5" borderId="0" xfId="4" applyFont="1" applyBorder="1" applyAlignment="1">
      <alignment horizontal="center" vertical="center"/>
    </xf>
    <xf numFmtId="0" fontId="12" fillId="5" borderId="10" xfId="4" applyFont="1" applyBorder="1" applyAlignment="1">
      <alignment horizontal="center" vertical="center"/>
    </xf>
    <xf numFmtId="0" fontId="11" fillId="5" borderId="0" xfId="4" applyFont="1" applyBorder="1" applyAlignment="1">
      <alignment horizontal="center" vertical="center"/>
    </xf>
    <xf numFmtId="0" fontId="0" fillId="11" borderId="4" xfId="0" applyFont="1" applyFill="1" applyBorder="1" applyAlignment="1">
      <alignment horizontal="center"/>
    </xf>
    <xf numFmtId="0" fontId="0" fillId="11" borderId="5" xfId="0" applyFont="1" applyFill="1" applyBorder="1" applyAlignment="1">
      <alignment horizontal="center"/>
    </xf>
    <xf numFmtId="0" fontId="11" fillId="5" borderId="7" xfId="4" applyFont="1" applyBorder="1" applyAlignment="1">
      <alignment horizontal="center" vertical="center"/>
    </xf>
    <xf numFmtId="0" fontId="11" fillId="5" borderId="8" xfId="4" applyFont="1" applyBorder="1" applyAlignment="1">
      <alignment horizontal="center" vertical="center"/>
    </xf>
    <xf numFmtId="0" fontId="11" fillId="5" borderId="9" xfId="4" applyFont="1" applyBorder="1" applyAlignment="1">
      <alignment horizontal="center" vertical="center"/>
    </xf>
    <xf numFmtId="0" fontId="11" fillId="5" borderId="11" xfId="4" applyFont="1" applyBorder="1" applyAlignment="1">
      <alignment horizontal="center" vertical="center"/>
    </xf>
    <xf numFmtId="0" fontId="11" fillId="5" borderId="12" xfId="4" applyFont="1" applyBorder="1" applyAlignment="1">
      <alignment horizontal="center" vertical="center"/>
    </xf>
    <xf numFmtId="0" fontId="11" fillId="5" borderId="13" xfId="4" applyFont="1" applyBorder="1" applyAlignment="1">
      <alignment horizontal="center" vertical="center"/>
    </xf>
    <xf numFmtId="0" fontId="15" fillId="9" borderId="6" xfId="0" applyFont="1" applyFill="1" applyBorder="1" applyAlignment="1">
      <alignment horizontal="left" vertical="top" wrapText="1"/>
    </xf>
    <xf numFmtId="0" fontId="15" fillId="9" borderId="10" xfId="0" applyFont="1" applyFill="1" applyBorder="1" applyAlignment="1">
      <alignment horizontal="left" vertical="top" wrapText="1"/>
    </xf>
    <xf numFmtId="0" fontId="15" fillId="9" borderId="11" xfId="0" applyFont="1" applyFill="1" applyBorder="1" applyAlignment="1">
      <alignment horizontal="left" vertical="top" wrapText="1"/>
    </xf>
    <xf numFmtId="0" fontId="15" fillId="9" borderId="13" xfId="0" applyFont="1" applyFill="1" applyBorder="1" applyAlignment="1">
      <alignment horizontal="left" vertical="top" wrapText="1"/>
    </xf>
    <xf numFmtId="0" fontId="16" fillId="8" borderId="7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/>
    </xf>
    <xf numFmtId="0" fontId="9" fillId="2" borderId="9" xfId="1" applyFont="1" applyBorder="1" applyAlignment="1">
      <alignment horizontal="center" vertical="center"/>
    </xf>
    <xf numFmtId="0" fontId="9" fillId="2" borderId="11" xfId="1" applyFont="1" applyBorder="1" applyAlignment="1">
      <alignment horizontal="center" vertical="center"/>
    </xf>
    <xf numFmtId="0" fontId="9" fillId="2" borderId="13" xfId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1" borderId="5" xfId="0" applyNumberFormat="1" applyFill="1" applyBorder="1" applyAlignment="1"/>
    <xf numFmtId="164" fontId="8" fillId="0" borderId="5" xfId="0" applyNumberFormat="1" applyFont="1" applyBorder="1"/>
  </cellXfs>
  <cellStyles count="6">
    <cellStyle name="20% - Accent4" xfId="5" builtinId="42"/>
    <cellStyle name="Accent3" xfId="4" builtinId="37"/>
    <cellStyle name="Calculation" xfId="2" builtinId="22"/>
    <cellStyle name="Check Cell" xfId="3" builtinId="2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95065970885337"/>
          <c:y val="2.6982413953854596E-2"/>
          <c:w val="0.71818683649915249"/>
          <c:h val="0.85732693598359266"/>
        </c:manualLayout>
      </c:layout>
      <c:pieChart>
        <c:varyColors val="1"/>
        <c:ser>
          <c:idx val="0"/>
          <c:order val="0"/>
          <c:tx>
            <c:strRef>
              <c:f>'Pricing sheet'!$F$10</c:f>
              <c:strCache>
                <c:ptCount val="1"/>
                <c:pt idx="0">
                  <c:v>Acreage Margin Calculator</c:v>
                </c:pt>
              </c:strCache>
            </c:strRef>
          </c:tx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FA-4D6A-90E6-75DF487A37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FA-4D6A-90E6-75DF487A37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FA-4D6A-90E6-75DF487A37B1}"/>
              </c:ext>
            </c:extLst>
          </c:dPt>
          <c:dPt>
            <c:idx val="3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FA-4D6A-90E6-75DF487A37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FA-4D6A-90E6-75DF487A37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'Pricing sheet'!$F$12:$F$16</c:f>
              <c:strCache>
                <c:ptCount val="5"/>
                <c:pt idx="0">
                  <c:v>Seed</c:v>
                </c:pt>
                <c:pt idx="1">
                  <c:v>Fertilizer</c:v>
                </c:pt>
                <c:pt idx="2">
                  <c:v>Chemical </c:v>
                </c:pt>
                <c:pt idx="3">
                  <c:v>Urea </c:v>
                </c:pt>
                <c:pt idx="4">
                  <c:v>Profit Margin</c:v>
                </c:pt>
              </c:strCache>
            </c:strRef>
          </c:cat>
          <c:val>
            <c:numRef>
              <c:f>'Pricing sheet'!$G$12:$G$16</c:f>
              <c:numCache>
                <c:formatCode>"$"#,##0.00</c:formatCode>
                <c:ptCount val="5"/>
                <c:pt idx="0">
                  <c:v>312.5</c:v>
                </c:pt>
                <c:pt idx="1">
                  <c:v>625</c:v>
                </c:pt>
                <c:pt idx="2">
                  <c:v>312.5</c:v>
                </c:pt>
                <c:pt idx="3">
                  <c:v>5000</c:v>
                </c:pt>
                <c:pt idx="4">
                  <c:v>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7-4273-BC2A-5939F7C7D4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249566597734446E-3"/>
          <c:y val="0.886764911194729"/>
          <c:w val="0.99437504334022653"/>
          <c:h val="0.1132350888052709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17177</xdr:rowOff>
    </xdr:from>
    <xdr:to>
      <xdr:col>7</xdr:col>
      <xdr:colOff>10242</xdr:colOff>
      <xdr:row>33</xdr:row>
      <xdr:rowOff>63153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36F783-CA59-4228-C3DA-7B412740C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D6C9-AC1F-4A7A-907F-B97E970DD716}">
  <dimension ref="B2:S40"/>
  <sheetViews>
    <sheetView showGridLines="0" tabSelected="1" zoomScale="59" zoomScaleNormal="100" workbookViewId="0">
      <selection activeCell="G13" sqref="G13"/>
    </sheetView>
  </sheetViews>
  <sheetFormatPr defaultRowHeight="14.5" x14ac:dyDescent="0.35"/>
  <cols>
    <col min="1" max="1" width="3.36328125" customWidth="1"/>
    <col min="2" max="2" width="22" bestFit="1" customWidth="1"/>
    <col min="3" max="3" width="15.6328125" bestFit="1" customWidth="1"/>
    <col min="4" max="4" width="16.6328125" bestFit="1" customWidth="1"/>
    <col min="5" max="5" width="7.7265625" customWidth="1"/>
    <col min="6" max="6" width="25.7265625" customWidth="1"/>
    <col min="7" max="7" width="29.1796875" customWidth="1"/>
  </cols>
  <sheetData>
    <row r="2" spans="2:9" x14ac:dyDescent="0.35">
      <c r="B2" s="57" t="s">
        <v>34</v>
      </c>
      <c r="C2" s="58"/>
      <c r="D2" s="59"/>
      <c r="E2" s="9"/>
    </row>
    <row r="3" spans="2:9" x14ac:dyDescent="0.35">
      <c r="B3" s="60"/>
      <c r="C3" s="61"/>
      <c r="D3" s="62"/>
      <c r="E3" s="9"/>
      <c r="F3" s="9"/>
    </row>
    <row r="4" spans="2:9" ht="16" x14ac:dyDescent="0.4">
      <c r="B4" s="38" t="s">
        <v>0</v>
      </c>
      <c r="C4" s="73"/>
      <c r="D4" s="74"/>
      <c r="E4" s="3"/>
      <c r="H4" s="32"/>
      <c r="I4" s="32"/>
    </row>
    <row r="5" spans="2:9" ht="18.5" x14ac:dyDescent="0.4">
      <c r="B5" s="39" t="s">
        <v>8</v>
      </c>
      <c r="C5" s="73"/>
      <c r="D5" s="74"/>
      <c r="E5" s="3"/>
      <c r="F5" s="67" t="s">
        <v>29</v>
      </c>
      <c r="G5" s="68"/>
      <c r="H5" s="32"/>
      <c r="I5" s="32"/>
    </row>
    <row r="6" spans="2:9" ht="16" x14ac:dyDescent="0.4">
      <c r="B6" s="39" t="s">
        <v>31</v>
      </c>
      <c r="C6" s="73"/>
      <c r="D6" s="74"/>
      <c r="E6" s="3"/>
      <c r="F6" s="63" t="s">
        <v>33</v>
      </c>
      <c r="G6" s="64"/>
      <c r="H6" s="22"/>
      <c r="I6" s="22"/>
    </row>
    <row r="7" spans="2:9" ht="16" x14ac:dyDescent="0.4">
      <c r="B7" s="40" t="s">
        <v>25</v>
      </c>
      <c r="C7" s="55">
        <v>800</v>
      </c>
      <c r="D7" s="56"/>
      <c r="E7" s="3"/>
      <c r="F7" s="65"/>
      <c r="G7" s="66"/>
    </row>
    <row r="8" spans="2:9" ht="16" x14ac:dyDescent="0.4">
      <c r="B8" s="41" t="s">
        <v>26</v>
      </c>
      <c r="C8" s="55">
        <v>50</v>
      </c>
      <c r="D8" s="56"/>
      <c r="E8" s="3"/>
      <c r="F8" s="3"/>
    </row>
    <row r="9" spans="2:9" x14ac:dyDescent="0.35">
      <c r="B9" s="34"/>
      <c r="C9" s="33"/>
      <c r="D9" s="33"/>
      <c r="E9" s="3"/>
      <c r="F9" s="3"/>
    </row>
    <row r="10" spans="2:9" x14ac:dyDescent="0.35">
      <c r="B10" s="54" t="s">
        <v>13</v>
      </c>
      <c r="C10" s="54"/>
      <c r="D10" s="54"/>
      <c r="E10" s="3"/>
      <c r="F10" s="69" t="s">
        <v>32</v>
      </c>
      <c r="G10" s="70"/>
    </row>
    <row r="11" spans="2:9" s="22" customFormat="1" ht="13.5" customHeight="1" x14ac:dyDescent="0.35">
      <c r="B11" s="61"/>
      <c r="C11" s="61"/>
      <c r="D11" s="61"/>
      <c r="E11" s="21"/>
      <c r="F11" s="71"/>
      <c r="G11" s="72"/>
    </row>
    <row r="12" spans="2:9" ht="18.5" x14ac:dyDescent="0.45">
      <c r="B12" s="45"/>
      <c r="C12" s="36" t="s">
        <v>28</v>
      </c>
      <c r="D12" s="37" t="s">
        <v>15</v>
      </c>
      <c r="E12" s="6"/>
      <c r="F12" s="31" t="s">
        <v>1</v>
      </c>
      <c r="G12" s="76">
        <f>D13*$C$8</f>
        <v>312.5</v>
      </c>
    </row>
    <row r="13" spans="2:9" ht="18.5" x14ac:dyDescent="0.45">
      <c r="B13" s="39" t="s">
        <v>1</v>
      </c>
      <c r="C13" s="46">
        <v>5000</v>
      </c>
      <c r="D13" s="35">
        <f>C13/$C$7</f>
        <v>6.25</v>
      </c>
      <c r="E13" s="7"/>
      <c r="F13" s="31" t="s">
        <v>3</v>
      </c>
      <c r="G13" s="76">
        <f>D14*$C$8</f>
        <v>625</v>
      </c>
    </row>
    <row r="14" spans="2:9" ht="18.5" x14ac:dyDescent="0.45">
      <c r="B14" s="39" t="s">
        <v>3</v>
      </c>
      <c r="C14" s="47">
        <v>10000</v>
      </c>
      <c r="D14" s="35">
        <f>C14/$C$7</f>
        <v>12.5</v>
      </c>
      <c r="E14" s="3"/>
      <c r="F14" s="31" t="s">
        <v>2</v>
      </c>
      <c r="G14" s="76">
        <f>D15*$C$8</f>
        <v>312.5</v>
      </c>
    </row>
    <row r="15" spans="2:9" ht="18.5" x14ac:dyDescent="0.45">
      <c r="B15" s="39" t="s">
        <v>2</v>
      </c>
      <c r="C15" s="47">
        <v>5000</v>
      </c>
      <c r="D15" s="35">
        <f>C15/$C$7</f>
        <v>6.25</v>
      </c>
      <c r="E15" s="3"/>
      <c r="F15" s="31" t="s">
        <v>4</v>
      </c>
      <c r="G15" s="76">
        <f>D16*$C$8</f>
        <v>5000</v>
      </c>
    </row>
    <row r="16" spans="2:9" ht="18.5" x14ac:dyDescent="0.45">
      <c r="B16" s="39" t="s">
        <v>4</v>
      </c>
      <c r="C16" s="48">
        <v>80000</v>
      </c>
      <c r="D16" s="35">
        <f>C16/$C$7</f>
        <v>100</v>
      </c>
      <c r="E16" s="3"/>
      <c r="F16" s="31" t="s">
        <v>30</v>
      </c>
      <c r="G16" s="76">
        <f>D27-D18</f>
        <v>7750</v>
      </c>
    </row>
    <row r="17" spans="2:19" ht="16" x14ac:dyDescent="0.4">
      <c r="B17" s="42" t="s">
        <v>21</v>
      </c>
      <c r="C17" s="23"/>
      <c r="D17" s="24">
        <f>SUM(D13:D16)</f>
        <v>125</v>
      </c>
      <c r="E17" s="3"/>
    </row>
    <row r="18" spans="2:19" ht="16" x14ac:dyDescent="0.4">
      <c r="B18" s="41" t="s">
        <v>27</v>
      </c>
      <c r="C18" s="1"/>
      <c r="D18" s="29">
        <f>D17*C8</f>
        <v>6250</v>
      </c>
      <c r="E18" s="3"/>
    </row>
    <row r="19" spans="2:19" x14ac:dyDescent="0.35">
      <c r="B19" s="25"/>
      <c r="C19" s="25"/>
      <c r="D19" s="25"/>
      <c r="E19" s="3"/>
    </row>
    <row r="20" spans="2:19" s="21" customFormat="1" x14ac:dyDescent="0.35">
      <c r="B20" s="51" t="s">
        <v>5</v>
      </c>
      <c r="C20" s="52"/>
      <c r="D20" s="53"/>
    </row>
    <row r="21" spans="2:19" s="21" customFormat="1" x14ac:dyDescent="0.35">
      <c r="B21" s="51"/>
      <c r="C21" s="52"/>
      <c r="D21" s="53"/>
    </row>
    <row r="22" spans="2:19" ht="16" x14ac:dyDescent="0.4">
      <c r="B22" s="44" t="s">
        <v>9</v>
      </c>
      <c r="C22" s="1"/>
      <c r="D22" s="50">
        <v>40</v>
      </c>
      <c r="E22" s="6"/>
      <c r="F22" s="3"/>
    </row>
    <row r="23" spans="2:19" ht="16" x14ac:dyDescent="0.4">
      <c r="B23" s="44" t="s">
        <v>19</v>
      </c>
      <c r="C23" s="1"/>
      <c r="D23" s="5">
        <f>D22/$C$8</f>
        <v>0.8</v>
      </c>
      <c r="E23" s="6"/>
      <c r="F23" s="6"/>
      <c r="G23" s="27"/>
    </row>
    <row r="24" spans="2:19" ht="16" x14ac:dyDescent="0.4">
      <c r="B24" s="44" t="s">
        <v>20</v>
      </c>
      <c r="C24" s="1"/>
      <c r="D24" s="24">
        <f xml:space="preserve"> D17/ (D22 / $C$8)</f>
        <v>156.25</v>
      </c>
      <c r="E24" s="3"/>
      <c r="F24" s="21"/>
      <c r="G24" s="27"/>
    </row>
    <row r="25" spans="2:19" ht="16" x14ac:dyDescent="0.4">
      <c r="B25" s="44" t="s">
        <v>6</v>
      </c>
      <c r="C25" s="1"/>
      <c r="D25" s="49">
        <v>350</v>
      </c>
      <c r="E25" s="3"/>
      <c r="F25" s="3"/>
    </row>
    <row r="26" spans="2:19" ht="16" x14ac:dyDescent="0.4">
      <c r="B26" s="44" t="s">
        <v>23</v>
      </c>
      <c r="C26" s="1"/>
      <c r="D26" s="30">
        <f>D25-D24</f>
        <v>193.75</v>
      </c>
      <c r="E26" s="3"/>
      <c r="F26" s="3"/>
    </row>
    <row r="27" spans="2:19" ht="16" x14ac:dyDescent="0.4">
      <c r="B27" s="44" t="s">
        <v>22</v>
      </c>
      <c r="C27" s="1"/>
      <c r="D27" s="14">
        <f>D22*D25</f>
        <v>14000</v>
      </c>
      <c r="E27" s="3"/>
      <c r="F27" s="3"/>
    </row>
    <row r="28" spans="2:19" x14ac:dyDescent="0.35">
      <c r="B28" s="17"/>
      <c r="C28" s="13"/>
      <c r="D28" s="18"/>
      <c r="E28" s="3"/>
      <c r="F28" s="3"/>
    </row>
    <row r="29" spans="2:19" ht="16" x14ac:dyDescent="0.4">
      <c r="B29" s="43" t="s">
        <v>16</v>
      </c>
      <c r="C29" s="2"/>
      <c r="D29" s="28">
        <f>D27-D18</f>
        <v>7750</v>
      </c>
      <c r="E29" s="3"/>
      <c r="F29" s="3"/>
    </row>
    <row r="30" spans="2:19" ht="16.5" thickBot="1" x14ac:dyDescent="0.45">
      <c r="B30" s="41" t="s">
        <v>24</v>
      </c>
      <c r="C30" s="8"/>
      <c r="D30" s="26">
        <f>D26*D22</f>
        <v>7750</v>
      </c>
      <c r="E30" s="3"/>
      <c r="F30" s="3"/>
    </row>
    <row r="31" spans="2:19" ht="15" thickTop="1" x14ac:dyDescent="0.35">
      <c r="B31" s="20"/>
      <c r="C31" s="21"/>
      <c r="D31" s="21"/>
      <c r="E31" s="3"/>
      <c r="F31" s="3"/>
      <c r="S31" t="s">
        <v>18</v>
      </c>
    </row>
    <row r="32" spans="2:19" s="21" customFormat="1" x14ac:dyDescent="0.35">
      <c r="B32" s="51" t="s">
        <v>7</v>
      </c>
      <c r="C32" s="52"/>
      <c r="D32" s="53"/>
    </row>
    <row r="33" spans="2:6" s="21" customFormat="1" x14ac:dyDescent="0.35">
      <c r="B33" s="51"/>
      <c r="C33" s="52"/>
      <c r="D33" s="53"/>
    </row>
    <row r="34" spans="2:6" ht="16" x14ac:dyDescent="0.4">
      <c r="B34" s="44" t="s">
        <v>10</v>
      </c>
      <c r="C34" s="2"/>
      <c r="D34" s="15">
        <v>2</v>
      </c>
      <c r="E34" s="6"/>
      <c r="F34" s="6"/>
    </row>
    <row r="35" spans="2:6" ht="16" x14ac:dyDescent="0.4">
      <c r="B35" s="44" t="s">
        <v>14</v>
      </c>
      <c r="C35" s="1"/>
      <c r="D35" s="50">
        <v>40</v>
      </c>
    </row>
    <row r="36" spans="2:6" ht="16" x14ac:dyDescent="0.4">
      <c r="B36" s="44" t="s">
        <v>11</v>
      </c>
      <c r="C36" s="1"/>
      <c r="D36" s="75">
        <f>6</f>
        <v>6</v>
      </c>
    </row>
    <row r="37" spans="2:6" ht="16" x14ac:dyDescent="0.4">
      <c r="B37" s="44" t="s">
        <v>17</v>
      </c>
      <c r="C37" s="4"/>
      <c r="D37" s="19">
        <f>(D34*D35)*D36</f>
        <v>480</v>
      </c>
    </row>
    <row r="38" spans="2:6" x14ac:dyDescent="0.35">
      <c r="B38" s="10"/>
      <c r="C38" s="11"/>
      <c r="D38" s="12"/>
    </row>
    <row r="39" spans="2:6" ht="16.5" thickBot="1" x14ac:dyDescent="0.45">
      <c r="B39" s="42" t="s">
        <v>12</v>
      </c>
      <c r="C39" s="8"/>
      <c r="D39" s="16">
        <f>D29-D37</f>
        <v>7270</v>
      </c>
    </row>
    <row r="40" spans="2:6" ht="15" thickTop="1" x14ac:dyDescent="0.35"/>
  </sheetData>
  <mergeCells count="12">
    <mergeCell ref="B20:D21"/>
    <mergeCell ref="B32:D33"/>
    <mergeCell ref="C7:D7"/>
    <mergeCell ref="B2:D3"/>
    <mergeCell ref="F6:G7"/>
    <mergeCell ref="F5:G5"/>
    <mergeCell ref="B10:D11"/>
    <mergeCell ref="F10:G11"/>
    <mergeCell ref="C8:D8"/>
    <mergeCell ref="C5:D5"/>
    <mergeCell ref="C4:D4"/>
    <mergeCell ref="C6:D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Cain</dc:creator>
  <cp:lastModifiedBy>Rob Cain</cp:lastModifiedBy>
  <dcterms:created xsi:type="dcterms:W3CDTF">2026-01-12T02:39:54Z</dcterms:created>
  <dcterms:modified xsi:type="dcterms:W3CDTF">2026-01-20T04:43:43Z</dcterms:modified>
</cp:coreProperties>
</file>